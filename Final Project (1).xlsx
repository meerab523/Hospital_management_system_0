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</sheets>
  <definedNames/>
  <calcPr/>
</workbook>
</file>

<file path=xl/sharedStrings.xml><?xml version="1.0" encoding="utf-8"?>
<sst xmlns="http://schemas.openxmlformats.org/spreadsheetml/2006/main" count="95" uniqueCount="68">
  <si>
    <t>Doctor ID</t>
  </si>
  <si>
    <t>Doctor Name</t>
  </si>
  <si>
    <t>Department</t>
  </si>
  <si>
    <t>Consultation Fee</t>
  </si>
  <si>
    <t>DC01</t>
  </si>
  <si>
    <t>Dr. Ahmed Khan</t>
  </si>
  <si>
    <t>Cardiology</t>
  </si>
  <si>
    <t>DN02</t>
  </si>
  <si>
    <t>Dr. Sara Ali</t>
  </si>
  <si>
    <t>Neurology</t>
  </si>
  <si>
    <t>DO03</t>
  </si>
  <si>
    <t>Dr. Hassan Raza</t>
  </si>
  <si>
    <t>Orthopedics</t>
  </si>
  <si>
    <t>DP04</t>
  </si>
  <si>
    <t>Dr. Ayesha Noor</t>
  </si>
  <si>
    <t>Pediatrics</t>
  </si>
  <si>
    <t>DD05</t>
  </si>
  <si>
    <t>Dr. Bilal Shah</t>
  </si>
  <si>
    <t>Dermatology</t>
  </si>
  <si>
    <t>DE06</t>
  </si>
  <si>
    <t>Dr. Umar Farooq</t>
  </si>
  <si>
    <t>ENT</t>
  </si>
  <si>
    <t>DG07</t>
  </si>
  <si>
    <t>Dr. Hina Malik</t>
  </si>
  <si>
    <t>Gynecology</t>
  </si>
  <si>
    <t>DS08</t>
  </si>
  <si>
    <t>Dr. Kamran Iqbal</t>
  </si>
  <si>
    <t>General Surgery</t>
  </si>
  <si>
    <t>DY09</t>
  </si>
  <si>
    <t>Dr. Maryam Siddiq</t>
  </si>
  <si>
    <t>Psychiatry</t>
  </si>
  <si>
    <t>DF10</t>
  </si>
  <si>
    <t>Dr. Faisal Ahmed</t>
  </si>
  <si>
    <t>Ophthalmology</t>
  </si>
  <si>
    <t>Appointment ID</t>
  </si>
  <si>
    <t>Patient Name</t>
  </si>
  <si>
    <t>Appointment Date</t>
  </si>
  <si>
    <t>Appointment Time</t>
  </si>
  <si>
    <t>Arrival Time</t>
  </si>
  <si>
    <t xml:space="preserve">Delay </t>
  </si>
  <si>
    <t>Status</t>
  </si>
  <si>
    <t>A001</t>
  </si>
  <si>
    <t>Ali Hassan</t>
  </si>
  <si>
    <t>A002</t>
  </si>
  <si>
    <t>Fatima Noor</t>
  </si>
  <si>
    <t>A003</t>
  </si>
  <si>
    <t>Usman Rafiq</t>
  </si>
  <si>
    <t>A004</t>
  </si>
  <si>
    <t>Ayesha Khan</t>
  </si>
  <si>
    <t>A005</t>
  </si>
  <si>
    <t>Hamza Ali</t>
  </si>
  <si>
    <t>A006</t>
  </si>
  <si>
    <t>AbdulAllah</t>
  </si>
  <si>
    <t>A007</t>
  </si>
  <si>
    <t>Bilal Ahmed</t>
  </si>
  <si>
    <t>A008</t>
  </si>
  <si>
    <t>Hira Salman</t>
  </si>
  <si>
    <t>A009</t>
  </si>
  <si>
    <t>Saad Rehman</t>
  </si>
  <si>
    <t>A010</t>
  </si>
  <si>
    <t>Maryam Iqbal</t>
  </si>
  <si>
    <t>Doctor Fee</t>
  </si>
  <si>
    <t>Total Bill</t>
  </si>
  <si>
    <t>Date</t>
  </si>
  <si>
    <t xml:space="preserve">Total patients </t>
  </si>
  <si>
    <t>Total Revenue</t>
  </si>
  <si>
    <t>Doctor's Name</t>
  </si>
  <si>
    <t>Total Patients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</si>
</sst>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4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  <tableStyles count="5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B5394"/>
                </a:solidFill>
                <a:latin typeface="Garamond"/>
              </a:defRPr>
            </a:pPr>
            <a:r>
              <a:rPr b="0">
                <a:solidFill>
                  <a:srgbClr val="0B5394"/>
                </a:solidFill>
                <a:latin typeface="Garamond"/>
              </a:rPr>
              <a:t>Doctors Performance Chart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cat>
            <c:strRef>
              <c:f>Sheet5!$B$4:$B$13</c:f>
            </c:strRef>
          </c:cat>
          <c:val>
            <c:numRef>
              <c:f>Sheet5!$C$4:$C$13</c:f>
              <c:numCache/>
            </c:numRef>
          </c:val>
        </c:ser>
        <c:ser>
          <c:idx val="1"/>
          <c:order val="1"/>
          <c:spPr>
            <a:solidFill>
              <a:srgbClr val="9FC5E8"/>
            </a:solidFill>
            <a:ln cmpd="sng">
              <a:solidFill>
                <a:srgbClr val="F4CCCC">
                  <a:alpha val="100000"/>
                </a:srgbClr>
              </a:solidFill>
              <a:prstDash val="solid"/>
            </a:ln>
          </c:spPr>
          <c:dPt>
            <c:idx val="7"/>
            <c:spPr>
              <a:solidFill>
                <a:srgbClr val="9FC5E8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Sheet5!$B$4:$B$13</c:f>
            </c:strRef>
          </c:cat>
          <c:val>
            <c:numRef>
              <c:f>Sheet5!$D$4:$D$13</c:f>
              <c:numCache/>
            </c:numRef>
          </c:val>
        </c:ser>
        <c:ser>
          <c:idx val="2"/>
          <c:order val="2"/>
          <c:cat>
            <c:strRef>
              <c:f>Sheet5!$B$4:$B$13</c:f>
            </c:strRef>
          </c:cat>
          <c:val>
            <c:numRef>
              <c:f>Sheet5!$E$4:$E$13</c:f>
              <c:numCache/>
            </c:numRef>
          </c:val>
        </c:ser>
        <c:axId val="2060996538"/>
        <c:axId val="1570633565"/>
      </c:bar3DChart>
      <c:catAx>
        <c:axId val="2060996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D85C6"/>
                </a:solidFill>
                <a:latin typeface="Arial"/>
              </a:defRPr>
            </a:pPr>
          </a:p>
        </c:txPr>
        <c:crossAx val="1570633565"/>
      </c:catAx>
      <c:valAx>
        <c:axId val="1570633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6099653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857250</xdr:colOff>
      <xdr:row>14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F15" displayName="Doctors_Information" name="Doctors_Information" id="1">
  <tableColumns count="4">
    <tableColumn name="Doctor ID" id="1"/>
    <tableColumn name="Doctor Name" id="2"/>
    <tableColumn name="Department" id="3"/>
    <tableColumn name="Consultation Fee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D3:K13" displayName="Appointments" name="Appointments" id="2">
  <tableColumns count="8">
    <tableColumn name="Appointment ID" id="1"/>
    <tableColumn name="Patient Name" id="2"/>
    <tableColumn name="Doctor ID" id="3"/>
    <tableColumn name="Appointment Date" id="4"/>
    <tableColumn name="Appointment Time" id="5"/>
    <tableColumn name="Arrival Time" id="6"/>
    <tableColumn name="Delay " id="7"/>
    <tableColumn name="Status" id="8"/>
  </tableColumns>
  <tableStyleInfo name="Sheet2-style" showColumnStripes="0" showFirstColumn="1" showLastColumn="1" showRowStripes="1"/>
</table>
</file>

<file path=xl/tables/table3.xml><?xml version="1.0" encoding="utf-8"?>
<table xmlns="http://schemas.openxmlformats.org/spreadsheetml/2006/main" ref="C4:H14" displayName="Billing" name="Billing" id="3">
  <tableColumns count="6">
    <tableColumn name="Appointment ID" id="1"/>
    <tableColumn name="Appointment Date" id="2"/>
    <tableColumn name="Patient Name" id="3"/>
    <tableColumn name="Doctor ID" id="4"/>
    <tableColumn name="Doctor Fee" id="5"/>
    <tableColumn name="Total Bill" id="6"/>
  </tableColumns>
  <tableStyleInfo name="Sheet3-style" showColumnStripes="0" showFirstColumn="1" showLastColumn="1" showRowStripes="1"/>
</table>
</file>

<file path=xl/tables/table4.xml><?xml version="1.0" encoding="utf-8"?>
<table xmlns="http://schemas.openxmlformats.org/spreadsheetml/2006/main" ref="C4:E14" displayName="Daily_Revenue_Summary" name="Daily_Revenue_Summary" id="4">
  <tableColumns count="3">
    <tableColumn name="Date" id="1"/>
    <tableColumn name="Total patients " id="2"/>
    <tableColumn name="Total Revenue" id="3"/>
  </tableColumns>
  <tableStyleInfo name="Sheet4-style" showColumnStripes="0" showFirstColumn="1" showLastColumn="1" showRowStripes="1"/>
</table>
</file>

<file path=xl/tables/table5.xml><?xml version="1.0" encoding="utf-8"?>
<table xmlns="http://schemas.openxmlformats.org/spreadsheetml/2006/main" ref="B3:E13" displayName="Doctor_Wise_Performance" name="Doctor_Wise_Performance" id="5">
  <tableColumns count="4">
    <tableColumn name="Doctor ID" id="1"/>
    <tableColumn name="Doctor's Name" id="2"/>
    <tableColumn name="Total Patients" id="3"/>
    <tableColumn name="Total Revenue" id="4"/>
  </tableColumns>
  <tableStyleInfo name="Sheet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6.13"/>
    <col customWidth="1" min="5" max="5" width="14.88"/>
    <col customWidth="1" min="6" max="6" width="21.38"/>
  </cols>
  <sheetData>
    <row r="4" ht="22.5" customHeight="1">
      <c r="C4" s="1" t="s">
        <v>0</v>
      </c>
      <c r="D4" s="1" t="s">
        <v>1</v>
      </c>
      <c r="E4" s="1" t="s">
        <v>2</v>
      </c>
      <c r="F4" s="1" t="s">
        <v>3</v>
      </c>
    </row>
    <row r="5" ht="22.5" customHeight="1">
      <c r="C5" s="2" t="s">
        <v>4</v>
      </c>
      <c r="D5" s="3" t="s">
        <v>5</v>
      </c>
      <c r="E5" s="3" t="s">
        <v>6</v>
      </c>
      <c r="F5" s="4">
        <v>2000.0</v>
      </c>
    </row>
    <row r="6" ht="22.5" customHeight="1">
      <c r="C6" s="2" t="s">
        <v>7</v>
      </c>
      <c r="D6" s="3" t="s">
        <v>8</v>
      </c>
      <c r="E6" s="3" t="s">
        <v>9</v>
      </c>
      <c r="F6" s="4">
        <v>2500.0</v>
      </c>
    </row>
    <row r="7" ht="22.5" customHeight="1">
      <c r="C7" s="2" t="s">
        <v>10</v>
      </c>
      <c r="D7" s="3" t="s">
        <v>11</v>
      </c>
      <c r="E7" s="3" t="s">
        <v>12</v>
      </c>
      <c r="F7" s="4">
        <v>1800.0</v>
      </c>
    </row>
    <row r="8" ht="22.5" customHeight="1">
      <c r="C8" s="2" t="s">
        <v>13</v>
      </c>
      <c r="D8" s="3" t="s">
        <v>14</v>
      </c>
      <c r="E8" s="3" t="s">
        <v>15</v>
      </c>
      <c r="F8" s="4">
        <v>1500.0</v>
      </c>
    </row>
    <row r="9" ht="22.5" customHeight="1">
      <c r="C9" s="2" t="s">
        <v>16</v>
      </c>
      <c r="D9" s="3" t="s">
        <v>17</v>
      </c>
      <c r="E9" s="3" t="s">
        <v>18</v>
      </c>
      <c r="F9" s="4">
        <v>2200.0</v>
      </c>
    </row>
    <row r="10" ht="22.5" customHeight="1">
      <c r="C10" s="2" t="s">
        <v>19</v>
      </c>
      <c r="D10" s="3" t="s">
        <v>20</v>
      </c>
      <c r="E10" s="3" t="s">
        <v>21</v>
      </c>
      <c r="F10" s="4">
        <v>1700.0</v>
      </c>
    </row>
    <row r="11" ht="22.5" customHeight="1">
      <c r="C11" s="2" t="s">
        <v>22</v>
      </c>
      <c r="D11" s="3" t="s">
        <v>23</v>
      </c>
      <c r="E11" s="3" t="s">
        <v>24</v>
      </c>
      <c r="F11" s="4">
        <v>3000.0</v>
      </c>
    </row>
    <row r="12" ht="22.5" customHeight="1">
      <c r="C12" s="2" t="s">
        <v>25</v>
      </c>
      <c r="D12" s="3" t="s">
        <v>26</v>
      </c>
      <c r="E12" s="3" t="s">
        <v>27</v>
      </c>
      <c r="F12" s="4">
        <v>2800.0</v>
      </c>
    </row>
    <row r="13" ht="22.5" customHeight="1">
      <c r="C13" s="2" t="s">
        <v>28</v>
      </c>
      <c r="D13" s="3" t="s">
        <v>29</v>
      </c>
      <c r="E13" s="3" t="s">
        <v>30</v>
      </c>
      <c r="F13" s="4">
        <v>2600.0</v>
      </c>
    </row>
    <row r="14" ht="22.5" customHeight="1">
      <c r="C14" s="2" t="s">
        <v>31</v>
      </c>
      <c r="D14" s="3" t="s">
        <v>32</v>
      </c>
      <c r="E14" s="3" t="s">
        <v>33</v>
      </c>
      <c r="F14" s="4">
        <v>1900.0</v>
      </c>
    </row>
    <row r="15" ht="1.5" customHeight="1">
      <c r="C15" s="5"/>
      <c r="F15" s="6"/>
    </row>
  </sheetData>
  <dataValidations>
    <dataValidation type="custom" allowBlank="1" showDropDown="1" sqref="F5:F15">
      <formula1>AND(ISNUMBER(F5),(NOT(OR(NOT(ISERROR(DATEVALUE(F5))), AND(ISNUMBER(F5), LEFT(CELL("format", F5))="D")))))</formula1>
    </dataValidation>
    <dataValidation type="list" allowBlank="1" sqref="C5:C15">
      <formula1>"DC01,DN02,DO03,DP04,DD05,DE06,DG07,DS08,DY09,DF10"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15.63"/>
    <col customWidth="1" min="6" max="6" width="15.75"/>
    <col customWidth="1" min="7" max="7" width="22.25"/>
    <col customWidth="1" min="8" max="8" width="22.63"/>
    <col customWidth="1" min="9" max="9" width="17.88"/>
    <col customWidth="1" min="10" max="10" width="18.13"/>
  </cols>
  <sheetData>
    <row r="3" ht="22.5" customHeight="1">
      <c r="D3" s="1" t="s">
        <v>34</v>
      </c>
      <c r="E3" s="1" t="s">
        <v>35</v>
      </c>
      <c r="F3" s="1" t="s">
        <v>0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</row>
    <row r="4" ht="22.5" customHeight="1">
      <c r="D4" s="2" t="s">
        <v>41</v>
      </c>
      <c r="E4" s="3" t="s">
        <v>42</v>
      </c>
      <c r="F4" s="2" t="s">
        <v>4</v>
      </c>
      <c r="G4" s="7">
        <v>46023.0</v>
      </c>
      <c r="H4" s="8">
        <v>0.4166666666666667</v>
      </c>
      <c r="I4" s="8">
        <v>0.4166666666666667</v>
      </c>
      <c r="J4" s="9">
        <f t="shared" ref="J4:J13" si="1">if(isblank(I4),"",(I4-H4))</f>
        <v>0</v>
      </c>
      <c r="K4" s="10" t="str">
        <f t="shared" ref="K4:K13" si="2">IFS(isblank(I4),"Missed",J4=0,"ON Time",J4&gt;0,"Late")</f>
        <v>ON Time</v>
      </c>
    </row>
    <row r="5" ht="22.5" customHeight="1">
      <c r="D5" s="2" t="s">
        <v>43</v>
      </c>
      <c r="E5" s="3" t="s">
        <v>44</v>
      </c>
      <c r="F5" s="2" t="s">
        <v>7</v>
      </c>
      <c r="G5" s="7">
        <v>46024.0</v>
      </c>
      <c r="H5" s="8">
        <v>0.4375</v>
      </c>
      <c r="I5" s="8">
        <v>0.4375</v>
      </c>
      <c r="J5" s="9">
        <f t="shared" si="1"/>
        <v>0</v>
      </c>
      <c r="K5" s="10" t="str">
        <f t="shared" si="2"/>
        <v>ON Time</v>
      </c>
    </row>
    <row r="6" ht="22.5" customHeight="1">
      <c r="D6" s="2" t="s">
        <v>45</v>
      </c>
      <c r="E6" s="3" t="s">
        <v>46</v>
      </c>
      <c r="F6" s="2" t="s">
        <v>10</v>
      </c>
      <c r="G6" s="7">
        <v>46025.0</v>
      </c>
      <c r="H6" s="8">
        <v>0.4583333333333333</v>
      </c>
      <c r="I6" s="8">
        <v>0.46875</v>
      </c>
      <c r="J6" s="9">
        <f t="shared" si="1"/>
        <v>0.01041666667</v>
      </c>
      <c r="K6" s="10" t="str">
        <f t="shared" si="2"/>
        <v>Late</v>
      </c>
    </row>
    <row r="7" ht="22.5" customHeight="1">
      <c r="D7" s="2" t="s">
        <v>47</v>
      </c>
      <c r="E7" s="3" t="s">
        <v>48</v>
      </c>
      <c r="F7" s="2" t="s">
        <v>13</v>
      </c>
      <c r="G7" s="7">
        <v>46026.0</v>
      </c>
      <c r="H7" s="8">
        <v>0.4791666666666667</v>
      </c>
      <c r="I7" s="8">
        <v>0.4791666666666667</v>
      </c>
      <c r="J7" s="9">
        <f t="shared" si="1"/>
        <v>0</v>
      </c>
      <c r="K7" s="10" t="str">
        <f t="shared" si="2"/>
        <v>ON Time</v>
      </c>
    </row>
    <row r="8" ht="22.5" customHeight="1">
      <c r="D8" s="2" t="s">
        <v>49</v>
      </c>
      <c r="E8" s="3" t="s">
        <v>50</v>
      </c>
      <c r="F8" s="2" t="s">
        <v>16</v>
      </c>
      <c r="G8" s="7">
        <v>46055.0</v>
      </c>
      <c r="H8" s="8">
        <v>0.5</v>
      </c>
      <c r="I8" s="8">
        <v>0.5069444444444444</v>
      </c>
      <c r="J8" s="9">
        <f t="shared" si="1"/>
        <v>0.006944444444</v>
      </c>
      <c r="K8" s="10" t="str">
        <f t="shared" si="2"/>
        <v>Late</v>
      </c>
    </row>
    <row r="9" ht="22.5" customHeight="1">
      <c r="D9" s="2" t="s">
        <v>51</v>
      </c>
      <c r="E9" s="3" t="s">
        <v>52</v>
      </c>
      <c r="F9" s="2" t="s">
        <v>19</v>
      </c>
      <c r="G9" s="7">
        <v>46056.0</v>
      </c>
      <c r="H9" s="8">
        <v>0.5208333333333334</v>
      </c>
      <c r="I9" s="8"/>
      <c r="J9" s="9" t="str">
        <f t="shared" si="1"/>
        <v/>
      </c>
      <c r="K9" s="10" t="str">
        <f t="shared" si="2"/>
        <v>Missed</v>
      </c>
    </row>
    <row r="10" ht="22.5" customHeight="1">
      <c r="D10" s="2" t="s">
        <v>53</v>
      </c>
      <c r="E10" s="3" t="s">
        <v>54</v>
      </c>
      <c r="F10" s="2" t="s">
        <v>22</v>
      </c>
      <c r="G10" s="7">
        <v>46057.0</v>
      </c>
      <c r="H10" s="8">
        <v>0.5416666666666666</v>
      </c>
      <c r="I10" s="8">
        <v>0.5590277777777778</v>
      </c>
      <c r="J10" s="9">
        <f t="shared" si="1"/>
        <v>0.01736111111</v>
      </c>
      <c r="K10" s="10" t="str">
        <f t="shared" si="2"/>
        <v>Late</v>
      </c>
    </row>
    <row r="11" ht="22.5" customHeight="1">
      <c r="D11" s="2" t="s">
        <v>55</v>
      </c>
      <c r="E11" s="3" t="s">
        <v>56</v>
      </c>
      <c r="F11" s="2" t="s">
        <v>25</v>
      </c>
      <c r="G11" s="7">
        <v>46058.0</v>
      </c>
      <c r="H11" s="8">
        <v>0.5625</v>
      </c>
      <c r="I11" s="8">
        <v>0.5625</v>
      </c>
      <c r="J11" s="9">
        <f t="shared" si="1"/>
        <v>0</v>
      </c>
      <c r="K11" s="10" t="str">
        <f t="shared" si="2"/>
        <v>ON Time</v>
      </c>
    </row>
    <row r="12" ht="22.5" customHeight="1">
      <c r="D12" s="2" t="s">
        <v>57</v>
      </c>
      <c r="E12" s="3" t="s">
        <v>58</v>
      </c>
      <c r="F12" s="2" t="s">
        <v>28</v>
      </c>
      <c r="G12" s="7">
        <v>46059.0</v>
      </c>
      <c r="H12" s="8">
        <v>0.5833333333333334</v>
      </c>
      <c r="I12" s="8"/>
      <c r="J12" s="9" t="str">
        <f t="shared" si="1"/>
        <v/>
      </c>
      <c r="K12" s="10" t="str">
        <f t="shared" si="2"/>
        <v>Missed</v>
      </c>
    </row>
    <row r="13" ht="22.5" customHeight="1">
      <c r="D13" s="2" t="s">
        <v>59</v>
      </c>
      <c r="E13" s="3" t="s">
        <v>60</v>
      </c>
      <c r="F13" s="2" t="s">
        <v>31</v>
      </c>
      <c r="G13" s="7">
        <v>46060.0</v>
      </c>
      <c r="H13" s="8">
        <v>0.6041666666666666</v>
      </c>
      <c r="I13" s="8">
        <v>0.6041666666666666</v>
      </c>
      <c r="J13" s="9">
        <f t="shared" si="1"/>
        <v>0</v>
      </c>
      <c r="K13" s="10" t="str">
        <f t="shared" si="2"/>
        <v>ON Time</v>
      </c>
    </row>
  </sheetData>
  <conditionalFormatting sqref="K4:K13">
    <cfRule type="containsText" dxfId="5" priority="1" operator="containsText" text="ON Time">
      <formula>NOT(ISERROR(SEARCH(("ON Time"),(K4))))</formula>
    </cfRule>
  </conditionalFormatting>
  <conditionalFormatting sqref="K4:K13">
    <cfRule type="containsText" dxfId="6" priority="2" operator="containsText" text="Late">
      <formula>NOT(ISERROR(SEARCH(("Late"),(K4))))</formula>
    </cfRule>
  </conditionalFormatting>
  <conditionalFormatting sqref="K4:K13">
    <cfRule type="containsText" dxfId="7" priority="3" operator="containsText" text="Missed">
      <formula>NOT(ISERROR(SEARCH(("Missed"),(K4))))</formula>
    </cfRule>
  </conditionalFormatting>
  <dataValidations>
    <dataValidation type="custom" allowBlank="1" showDropDown="1" sqref="H4:I13">
      <formula1>OR(TIMEVALUE(TEXT(H4, "hh:mm:ss"))=H4, AND(ISNUMBER(H4), LEFT(CELL("format", H4))="D"))</formula1>
    </dataValidation>
    <dataValidation type="custom" allowBlank="1" showDropDown="1" sqref="G4:G13">
      <formula1>OR(NOT(ISERROR(DATEVALUE(G4))), AND(ISNUMBER(G4), LEFT(CELL("format", G4))="D"))</formula1>
    </dataValidation>
    <dataValidation type="list" allowBlank="1" sqref="F4:F13">
      <formula1>"DC01,DN02,DO03,DP04,DD05,DE06,DG07,DS08,DY09,DF10"</formula1>
    </dataValidation>
    <dataValidation type="list" allowBlank="1" sqref="D4:D13">
      <formula1>"A001,A002,A003,A004,A005,A006,A007,A008,A009,A010"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8.88"/>
    <col customWidth="1" min="5" max="6" width="15.63"/>
    <col customWidth="1" min="7" max="7" width="13.5"/>
  </cols>
  <sheetData>
    <row r="4" ht="22.5" customHeight="1">
      <c r="C4" s="11" t="s">
        <v>34</v>
      </c>
      <c r="D4" s="11" t="s">
        <v>36</v>
      </c>
      <c r="E4" s="11" t="s">
        <v>35</v>
      </c>
      <c r="F4" s="11" t="s">
        <v>0</v>
      </c>
      <c r="G4" s="11" t="s">
        <v>61</v>
      </c>
      <c r="H4" s="11" t="s">
        <v>62</v>
      </c>
    </row>
    <row r="5" ht="22.5" customHeight="1">
      <c r="C5" s="12" t="str">
        <f>VLOOKUP(Sheet2!D4,Appointments[],1,False)</f>
        <v>A001</v>
      </c>
      <c r="D5" s="7">
        <f>VLOOKUP(C5,Appointments[],4,false)</f>
        <v>46023</v>
      </c>
      <c r="E5" s="13" t="str">
        <f>VLOOKUP(C5,Appointments[],2,false)</f>
        <v>Ali Hassan</v>
      </c>
      <c r="F5" s="12" t="str">
        <f>VLOOKUP(Sheet1!C5,Sheet1!C5:F14,1,False)</f>
        <v>DC01</v>
      </c>
      <c r="G5" s="4">
        <f>VLOOKUP(F5,Sheet1!C5:F14,4,false)</f>
        <v>2000</v>
      </c>
      <c r="H5" s="14">
        <f t="shared" ref="H5:H14" si="1">G5</f>
        <v>2000</v>
      </c>
    </row>
    <row r="6" ht="22.5" customHeight="1">
      <c r="C6" s="12" t="str">
        <f>VLOOKUP(Sheet2!D5,Appointments[],1,False)</f>
        <v>A002</v>
      </c>
      <c r="D6" s="7">
        <f>VLOOKUP(C6,Appointments[],4,false)</f>
        <v>46024</v>
      </c>
      <c r="E6" s="13" t="str">
        <f>VLOOKUP(C6,Appointments[],2,false)</f>
        <v>Fatima Noor</v>
      </c>
      <c r="F6" s="12" t="str">
        <f>VLOOKUP(Sheet1!C6,Sheet1!C6:F15,1,False)</f>
        <v>DN02</v>
      </c>
      <c r="G6" s="4">
        <f>VLOOKUP(F6,Sheet1!C6:F15,4,false)</f>
        <v>2500</v>
      </c>
      <c r="H6" s="14">
        <f t="shared" si="1"/>
        <v>2500</v>
      </c>
    </row>
    <row r="7" ht="22.5" customHeight="1">
      <c r="C7" s="12" t="str">
        <f>VLOOKUP(Sheet2!D6,Appointments[],1,False)</f>
        <v>A003</v>
      </c>
      <c r="D7" s="7">
        <f>VLOOKUP(C7,Appointments[],4,false)</f>
        <v>46025</v>
      </c>
      <c r="E7" s="13" t="str">
        <f>VLOOKUP(C7,Appointments[],2,false)</f>
        <v>Usman Rafiq</v>
      </c>
      <c r="F7" s="12" t="str">
        <f>VLOOKUP(Sheet1!C7,Sheet1!C7:F16,1,False)</f>
        <v>DO03</v>
      </c>
      <c r="G7" s="4">
        <f>VLOOKUP(F7,Sheet1!C7:F16,4,false)</f>
        <v>1800</v>
      </c>
      <c r="H7" s="14">
        <f t="shared" si="1"/>
        <v>1800</v>
      </c>
    </row>
    <row r="8" ht="22.5" customHeight="1">
      <c r="C8" s="12" t="str">
        <f>VLOOKUP(Sheet2!D7,Appointments[],1,False)</f>
        <v>A004</v>
      </c>
      <c r="D8" s="7">
        <f>VLOOKUP(C8,Appointments[],4,false)</f>
        <v>46026</v>
      </c>
      <c r="E8" s="13" t="str">
        <f>VLOOKUP(C8,Appointments[],2,false)</f>
        <v>Ayesha Khan</v>
      </c>
      <c r="F8" s="12" t="str">
        <f>VLOOKUP(Sheet1!C8,Sheet1!C8:F17,1,False)</f>
        <v>DP04</v>
      </c>
      <c r="G8" s="4">
        <f>VLOOKUP(F8,Sheet1!C8:F17,4,false)</f>
        <v>1500</v>
      </c>
      <c r="H8" s="14">
        <f t="shared" si="1"/>
        <v>1500</v>
      </c>
    </row>
    <row r="9" ht="22.5" customHeight="1">
      <c r="C9" s="12" t="str">
        <f>VLOOKUP(Sheet2!D8,Appointments[],1,False)</f>
        <v>A005</v>
      </c>
      <c r="D9" s="7">
        <f>VLOOKUP(C9,Appointments[],4,false)</f>
        <v>46055</v>
      </c>
      <c r="E9" s="13" t="str">
        <f>VLOOKUP(C9,Appointments[],2,false)</f>
        <v>Hamza Ali</v>
      </c>
      <c r="F9" s="12" t="str">
        <f>VLOOKUP(Sheet1!C9,Sheet1!C9:F18,1,False)</f>
        <v>DD05</v>
      </c>
      <c r="G9" s="4">
        <f>VLOOKUP(F9,Sheet1!C9:F18,4,false)</f>
        <v>2200</v>
      </c>
      <c r="H9" s="14">
        <f t="shared" si="1"/>
        <v>2200</v>
      </c>
    </row>
    <row r="10" ht="22.5" customHeight="1">
      <c r="C10" s="12" t="str">
        <f>VLOOKUP(Sheet2!D9,Appointments[],1,False)</f>
        <v>A006</v>
      </c>
      <c r="D10" s="7">
        <f>VLOOKUP(C10,Appointments[],4,false)</f>
        <v>46056</v>
      </c>
      <c r="E10" s="13" t="str">
        <f>VLOOKUP(C10,Appointments[],2,false)</f>
        <v>AbdulAllah</v>
      </c>
      <c r="F10" s="12" t="str">
        <f>VLOOKUP(Sheet1!C10,Sheet1!C10:F19,1,False)</f>
        <v>DE06</v>
      </c>
      <c r="G10" s="4">
        <f>VLOOKUP(F10,Sheet1!C10:F19,4,false)</f>
        <v>1700</v>
      </c>
      <c r="H10" s="14">
        <f t="shared" si="1"/>
        <v>1700</v>
      </c>
    </row>
    <row r="11" ht="22.5" customHeight="1">
      <c r="C11" s="12" t="str">
        <f>VLOOKUP(Sheet2!D10,Appointments[],1,False)</f>
        <v>A007</v>
      </c>
      <c r="D11" s="7">
        <f>VLOOKUP(C11,Appointments[],4,false)</f>
        <v>46057</v>
      </c>
      <c r="E11" s="13" t="str">
        <f>VLOOKUP(C11,Appointments[],2,false)</f>
        <v>Bilal Ahmed</v>
      </c>
      <c r="F11" s="12" t="str">
        <f>VLOOKUP(Sheet1!C11,Sheet1!C11:F20,1,False)</f>
        <v>DG07</v>
      </c>
      <c r="G11" s="4">
        <f>VLOOKUP(F11,Sheet1!C11:F20,4,false)</f>
        <v>3000</v>
      </c>
      <c r="H11" s="14">
        <f t="shared" si="1"/>
        <v>3000</v>
      </c>
    </row>
    <row r="12" ht="22.5" customHeight="1">
      <c r="C12" s="12" t="str">
        <f>VLOOKUP(Sheet2!D11,Appointments[],1,False)</f>
        <v>A008</v>
      </c>
      <c r="D12" s="7">
        <f>VLOOKUP(C12,Appointments[],4,false)</f>
        <v>46058</v>
      </c>
      <c r="E12" s="13" t="str">
        <f>VLOOKUP(C12,Appointments[],2,false)</f>
        <v>Hira Salman</v>
      </c>
      <c r="F12" s="12" t="str">
        <f>VLOOKUP(Sheet1!C12,Sheet1!C12:F21,1,False)</f>
        <v>DS08</v>
      </c>
      <c r="G12" s="4">
        <f>VLOOKUP(F12,Sheet1!C12:F21,4,false)</f>
        <v>2800</v>
      </c>
      <c r="H12" s="14">
        <f t="shared" si="1"/>
        <v>2800</v>
      </c>
    </row>
    <row r="13" ht="22.5" customHeight="1">
      <c r="C13" s="12" t="str">
        <f>VLOOKUP(Sheet2!D12,Appointments[],1,False)</f>
        <v>A009</v>
      </c>
      <c r="D13" s="7">
        <f>VLOOKUP(C13,Appointments[],4,false)</f>
        <v>46059</v>
      </c>
      <c r="E13" s="13" t="str">
        <f>VLOOKUP(C13,Appointments[],2,false)</f>
        <v>Saad Rehman</v>
      </c>
      <c r="F13" s="12" t="str">
        <f>VLOOKUP(Sheet1!C13,Sheet1!C13:F22,1,False)</f>
        <v>DY09</v>
      </c>
      <c r="G13" s="4">
        <f>VLOOKUP(F13,Sheet1!C13:F22,4,false)</f>
        <v>2600</v>
      </c>
      <c r="H13" s="14">
        <f t="shared" si="1"/>
        <v>2600</v>
      </c>
    </row>
    <row r="14" ht="22.5" customHeight="1">
      <c r="C14" s="12" t="str">
        <f>VLOOKUP(Sheet2!D13,Appointments[],1,False)</f>
        <v>A010</v>
      </c>
      <c r="D14" s="7">
        <f>VLOOKUP(C14,Appointments[],4,false)</f>
        <v>46060</v>
      </c>
      <c r="E14" s="13" t="str">
        <f>VLOOKUP(C14,Appointments[],2,false)</f>
        <v>Maryam Iqbal</v>
      </c>
      <c r="F14" s="12" t="str">
        <f>VLOOKUP(Sheet1!C14,Sheet1!C14:F23,1,False)</f>
        <v>DF10</v>
      </c>
      <c r="G14" s="4">
        <f>VLOOKUP(F14,Sheet1!C14:F23,4,false)</f>
        <v>1900</v>
      </c>
      <c r="H14" s="14">
        <f t="shared" si="1"/>
        <v>1900</v>
      </c>
    </row>
  </sheetData>
  <dataValidations>
    <dataValidation type="list" allowBlank="1" sqref="F5:F14">
      <formula1>"DC01,DN02,DO03,DP04,DD05,DE06,DG07,DS08,DY09,DF10"</formula1>
    </dataValidation>
    <dataValidation type="list" allowBlank="1" sqref="C5:C14">
      <formula1>"A001,A002,A003,A004,A005,A006,A007,A008,A009,A010"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75"/>
    <col customWidth="1" min="5" max="5" width="15.88"/>
  </cols>
  <sheetData>
    <row r="4" ht="22.5" customHeight="1">
      <c r="C4" s="11" t="s">
        <v>63</v>
      </c>
      <c r="D4" s="11" t="s">
        <v>64</v>
      </c>
      <c r="E4" s="11" t="s">
        <v>65</v>
      </c>
    </row>
    <row r="5" ht="22.5" customHeight="1">
      <c r="C5" s="15">
        <v>46023.0</v>
      </c>
      <c r="D5" s="16">
        <f>COUNTIF(Sheet2!G:G, C5)</f>
        <v>1</v>
      </c>
      <c r="E5" s="16">
        <f>SUMIF(Sheet3!D:D, C5, Sheet3!H:H)</f>
        <v>2000</v>
      </c>
    </row>
    <row r="6" ht="22.5" customHeight="1">
      <c r="C6" s="15">
        <v>46024.0</v>
      </c>
      <c r="D6" s="16">
        <f>COUNTIF(Sheet2!G:G, C6)</f>
        <v>1</v>
      </c>
      <c r="E6" s="16">
        <f>SUMIF(Sheet3!D:D, C6, Sheet3!H:H)</f>
        <v>2500</v>
      </c>
    </row>
    <row r="7" ht="22.5" customHeight="1">
      <c r="C7" s="15">
        <v>46025.0</v>
      </c>
      <c r="D7" s="16">
        <f>COUNTIF(Sheet2!G:G, C7)</f>
        <v>1</v>
      </c>
      <c r="E7" s="16">
        <f>SUMIF(Sheet3!D:D, C7, Sheet3!H:H)</f>
        <v>1800</v>
      </c>
    </row>
    <row r="8" ht="22.5" customHeight="1">
      <c r="C8" s="15">
        <v>46026.0</v>
      </c>
      <c r="D8" s="16">
        <f>COUNTIF(Sheet2!G:G, C8)</f>
        <v>1</v>
      </c>
      <c r="E8" s="16">
        <f>SUMIF(Sheet3!D:D, C8, Sheet3!H:H)</f>
        <v>1500</v>
      </c>
    </row>
    <row r="9" ht="22.5" customHeight="1">
      <c r="C9" s="17">
        <v>46055.0</v>
      </c>
      <c r="D9" s="16">
        <f>COUNTIF(Sheet2!G:G, C9)</f>
        <v>1</v>
      </c>
      <c r="E9" s="16">
        <f>SUMIF(Sheet3!D:D, C9, Sheet3!H:H)</f>
        <v>2200</v>
      </c>
    </row>
    <row r="10" ht="22.5" customHeight="1">
      <c r="C10" s="15">
        <v>46056.0</v>
      </c>
      <c r="D10" s="16">
        <f>COUNTIF(Sheet2!G:G, C10)</f>
        <v>1</v>
      </c>
      <c r="E10" s="16">
        <f>SUMIF(Sheet3!D:D, C10, Sheet3!H:H)</f>
        <v>1700</v>
      </c>
    </row>
    <row r="11" ht="22.5" customHeight="1">
      <c r="C11" s="15">
        <v>46057.0</v>
      </c>
      <c r="D11" s="16">
        <f>COUNTIF(Sheet2!G:G, C11)</f>
        <v>1</v>
      </c>
      <c r="E11" s="16">
        <f>SUMIF(Sheet3!D:D, C11, Sheet3!H:H)</f>
        <v>3000</v>
      </c>
    </row>
    <row r="12" ht="22.5" customHeight="1">
      <c r="C12" s="17">
        <v>46058.0</v>
      </c>
      <c r="D12" s="16">
        <f>COUNTIF(Sheet2!G:G, C12)</f>
        <v>1</v>
      </c>
      <c r="E12" s="16">
        <f>SUMIF(Sheet3!D:D, C12, Sheet3!H:H)</f>
        <v>2800</v>
      </c>
    </row>
    <row r="13" ht="22.5" customHeight="1">
      <c r="C13" s="15">
        <v>46059.0</v>
      </c>
      <c r="D13" s="16">
        <f>COUNTIF(Sheet2!G:G, C13)</f>
        <v>1</v>
      </c>
      <c r="E13" s="16">
        <f>SUMIF(Sheet3!D:D, C13, Sheet3!H:H)</f>
        <v>2600</v>
      </c>
    </row>
    <row r="14" ht="22.5" customHeight="1">
      <c r="C14" s="15">
        <v>46060.0</v>
      </c>
      <c r="D14" s="16">
        <f>COUNTIF(Sheet2!G:G, C14)</f>
        <v>1</v>
      </c>
      <c r="E14" s="16">
        <f>SUMIF(Sheet3!D:D, C14, Sheet3!H:H)</f>
        <v>1900</v>
      </c>
    </row>
  </sheetData>
  <dataValidations>
    <dataValidation type="custom" allowBlank="1" showDropDown="1" sqref="C5:C14">
      <formula1>OR(NOT(ISERROR(DATEVALUE(C5))), AND(ISNUMBER(C5), LEFT(CELL("format", C5))="D"))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7.13"/>
    <col customWidth="1" min="4" max="4" width="16.88"/>
    <col customWidth="1" min="5" max="5" width="17.0"/>
  </cols>
  <sheetData>
    <row r="3" ht="22.5" customHeight="1">
      <c r="B3" s="11" t="s">
        <v>0</v>
      </c>
      <c r="C3" s="11" t="s">
        <v>66</v>
      </c>
      <c r="D3" s="3" t="s">
        <v>67</v>
      </c>
      <c r="E3" s="3" t="s">
        <v>65</v>
      </c>
    </row>
    <row r="4" ht="22.5" customHeight="1">
      <c r="B4" s="18" t="s">
        <v>4</v>
      </c>
      <c r="C4" s="19" t="str">
        <f>VLOOKUP(B4,Sheet1!C5:F14,2,false)</f>
        <v>Dr. Ahmed Khan</v>
      </c>
      <c r="D4" s="14">
        <f>COUNTIF(Sheet2!F:F,B4)</f>
        <v>1</v>
      </c>
      <c r="E4" s="14">
        <f>SUMIF(Sheet3!F:F,B4, Sheet3!H:H)</f>
        <v>2000</v>
      </c>
    </row>
    <row r="5" ht="22.5" customHeight="1">
      <c r="B5" s="18" t="s">
        <v>7</v>
      </c>
      <c r="C5" s="19" t="str">
        <f>VLOOKUP(B5,Sheet1!C6:F15,2,false)</f>
        <v>Dr. Sara Ali</v>
      </c>
      <c r="D5" s="14">
        <f>COUNTIF(Sheet2!F:F,B5)</f>
        <v>1</v>
      </c>
      <c r="E5" s="14">
        <f>SUMIF(Sheet3!F:F,B5, Sheet3!H:H)</f>
        <v>2500</v>
      </c>
    </row>
    <row r="6" ht="22.5" customHeight="1">
      <c r="B6" s="18" t="s">
        <v>10</v>
      </c>
      <c r="C6" s="19" t="str">
        <f>VLOOKUP(B6,Sheet1!C7:F16,2,false)</f>
        <v>Dr. Hassan Raza</v>
      </c>
      <c r="D6" s="14">
        <f>COUNTIF(Sheet2!F:F,B6)</f>
        <v>1</v>
      </c>
      <c r="E6" s="14">
        <f>SUMIF(Sheet3!F:F,B6, Sheet3!H:H)</f>
        <v>1800</v>
      </c>
    </row>
    <row r="7" ht="22.5" customHeight="1">
      <c r="B7" s="18" t="s">
        <v>13</v>
      </c>
      <c r="C7" s="19" t="str">
        <f>VLOOKUP(B7,Sheet1!C8:F17,2,false)</f>
        <v>Dr. Ayesha Noor</v>
      </c>
      <c r="D7" s="14">
        <f>COUNTIF(Sheet2!F:F,B7)</f>
        <v>1</v>
      </c>
      <c r="E7" s="14">
        <f>SUMIF(Sheet3!F:F,B7, Sheet3!H:H)</f>
        <v>1500</v>
      </c>
      <c r="H7" s="20"/>
    </row>
    <row r="8" ht="22.5" customHeight="1">
      <c r="B8" s="18" t="s">
        <v>16</v>
      </c>
      <c r="C8" s="19" t="str">
        <f>VLOOKUP(B8,Sheet1!C9:F18,2,false)</f>
        <v>Dr. Bilal Shah</v>
      </c>
      <c r="D8" s="14">
        <f>COUNTIF(Sheet2!F:F,B8)</f>
        <v>1</v>
      </c>
      <c r="E8" s="14">
        <f>SUMIF(Sheet3!F:F,B8, Sheet3!H:H)</f>
        <v>2200</v>
      </c>
    </row>
    <row r="9" ht="22.5" customHeight="1">
      <c r="B9" s="18" t="s">
        <v>19</v>
      </c>
      <c r="C9" s="19" t="str">
        <f>VLOOKUP(B9,Sheet1!C10:F19,2,false)</f>
        <v>Dr. Umar Farooq</v>
      </c>
      <c r="D9" s="14">
        <f>COUNTIF(Sheet2!F:F,B9)</f>
        <v>1</v>
      </c>
      <c r="E9" s="14">
        <f>SUMIF(Sheet3!F:F,B9, Sheet3!H:H)</f>
        <v>1700</v>
      </c>
    </row>
    <row r="10" ht="22.5" customHeight="1">
      <c r="B10" s="18" t="s">
        <v>22</v>
      </c>
      <c r="C10" s="19" t="str">
        <f>VLOOKUP(B10,Sheet1!C11:F20,2,false)</f>
        <v>Dr. Hina Malik</v>
      </c>
      <c r="D10" s="14">
        <f>COUNTIF(Sheet2!F:F,B10)</f>
        <v>1</v>
      </c>
      <c r="E10" s="14">
        <f>SUMIF(Sheet3!F:F,B10, Sheet3!H:H)</f>
        <v>3000</v>
      </c>
    </row>
    <row r="11" ht="22.5" customHeight="1">
      <c r="B11" s="18" t="s">
        <v>25</v>
      </c>
      <c r="C11" s="19" t="str">
        <f>VLOOKUP(B11,Sheet1!C12:F21,2,false)</f>
        <v>Dr. Kamran Iqbal</v>
      </c>
      <c r="D11" s="14">
        <f>COUNTIF(Sheet2!F:F,B11)</f>
        <v>1</v>
      </c>
      <c r="E11" s="14">
        <f>SUMIF(Sheet3!F:F,B11, Sheet3!H:H)</f>
        <v>2800</v>
      </c>
    </row>
    <row r="12" ht="22.5" customHeight="1">
      <c r="B12" s="18" t="s">
        <v>28</v>
      </c>
      <c r="C12" s="19" t="str">
        <f>VLOOKUP(B12,Sheet1!C13:F22,2,false)</f>
        <v>Dr. Maryam Siddiq</v>
      </c>
      <c r="D12" s="14">
        <f>COUNTIF(Sheet2!F:F,B12)</f>
        <v>1</v>
      </c>
      <c r="E12" s="14">
        <f>SUMIF(Sheet3!F:F,B12, Sheet3!H:H)</f>
        <v>2600</v>
      </c>
    </row>
    <row r="13" ht="22.5" customHeight="1">
      <c r="B13" s="18" t="s">
        <v>31</v>
      </c>
      <c r="C13" s="19" t="str">
        <f>VLOOKUP(B13,Sheet1!C14:F23,2,false)</f>
        <v>Dr. Faisal Ahmed</v>
      </c>
      <c r="D13" s="14">
        <f>COUNTIF(Sheet2!F:F,B13)</f>
        <v>1</v>
      </c>
      <c r="E13" s="14">
        <f>SUMIF(Sheet3!F:F,B13, Sheet3!H:H)</f>
        <v>1900</v>
      </c>
    </row>
  </sheetData>
  <dataValidations>
    <dataValidation type="custom" allowBlank="1" showDropDown="1" sqref="D4:E13">
      <formula1>AND(ISNUMBER(D4),(NOT(OR(NOT(ISERROR(DATEVALUE(D4))), AND(ISNUMBER(D4), LEFT(CELL("format", D4))="D")))))</formula1>
    </dataValidation>
    <dataValidation type="list" allowBlank="1" sqref="B4:B13">
      <formula1>"DC01,DN02,DO03,DP04,DD05,DE06,DG07,DS08,DY09,DF10"</formula1>
    </dataValidation>
  </dataValidations>
  <drawing r:id="rId1"/>
  <tableParts count="1">
    <tablePart r:id="rId3"/>
  </tableParts>
</worksheet>
</file>